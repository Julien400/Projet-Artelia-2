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\OneDrive\GEN Departement insa\5A\Option 2IE\"/>
    </mc:Choice>
  </mc:AlternateContent>
  <xr:revisionPtr revIDLastSave="0" documentId="13_ncr:1_{26A206FF-728C-4802-B557-8F6E3BB8B954}" xr6:coauthVersionLast="47" xr6:coauthVersionMax="47" xr10:uidLastSave="{00000000-0000-0000-0000-000000000000}"/>
  <bookViews>
    <workbookView xWindow="-110" yWindow="-110" windowWidth="19420" windowHeight="10300" firstSheet="3" activeTab="3" xr2:uid="{81994DD7-9756-4156-895A-17C0D6961E85}"/>
  </bookViews>
  <sheets>
    <sheet name="Nombre emplois par secteur" sheetId="1" r:id="rId1"/>
    <sheet name="Cat emploi commune Lyon" sheetId="2" r:id="rId2"/>
    <sheet name="Voitures par foyer commune Lyon" sheetId="3" r:id="rId3"/>
    <sheet name="Confort habitat commune Lyon" sheetId="4" r:id="rId4"/>
    <sheet name="Nombre pieces Commune Lyon" sheetId="5" r:id="rId5"/>
    <sheet name="Type logement commune Lyon" sheetId="6" r:id="rId6"/>
    <sheet name="Type famille commune Lyon" sheetId="8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 a="1"/>
  <c r="F4" i="2" s="1"/>
  <c r="H2" i="1"/>
  <c r="I2" i="1" s="1"/>
  <c r="H3" i="1"/>
  <c r="I3" i="1" s="1"/>
  <c r="B11" i="1" l="1"/>
  <c r="B9" i="1"/>
  <c r="B4" i="1"/>
  <c r="B8" i="1"/>
  <c r="B6" i="1" l="1"/>
  <c r="B12" i="1"/>
  <c r="B3" i="1"/>
  <c r="B10" i="1"/>
  <c r="B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<sst xmlns="http://schemas.openxmlformats.org/spreadsheetml/2006/main" count="46" uniqueCount="41">
  <si>
    <t>Ensemble</t>
  </si>
  <si>
    <t>Agriculture</t>
  </si>
  <si>
    <t>Industrie</t>
  </si>
  <si>
    <t>Construction</t>
  </si>
  <si>
    <t>Commerce, transports, services divers</t>
  </si>
  <si>
    <t>Administration publique, enseignement, santé, action sociale</t>
  </si>
  <si>
    <t>Annee</t>
  </si>
  <si>
    <t>a</t>
  </si>
  <si>
    <t>b</t>
  </si>
  <si>
    <t>Agriculteurs exploitants</t>
  </si>
  <si>
    <t>Artisans, commerçants, chefs entreprise</t>
  </si>
  <si>
    <t>Cadres et professions intellectuelles supérieures</t>
  </si>
  <si>
    <t>Professions intermédiaires</t>
  </si>
  <si>
    <t>Employés</t>
  </si>
  <si>
    <t>Ouvriers</t>
  </si>
  <si>
    <t>Au moins une voiture</t>
  </si>
  <si>
    <t> 1 voiture</t>
  </si>
  <si>
    <t> 2 voitures ou plus</t>
  </si>
  <si>
    <t>Salle de bain avec baignoire ou douche</t>
  </si>
  <si>
    <t>Chauffage central individuel</t>
  </si>
  <si>
    <t>Chauffage individuel "tout électrique"</t>
  </si>
  <si>
    <t>1 pièce</t>
  </si>
  <si>
    <t>2 pièces</t>
  </si>
  <si>
    <t>3 pièces</t>
  </si>
  <si>
    <t>4 pièces</t>
  </si>
  <si>
    <t>5 pièces ou plus</t>
  </si>
  <si>
    <t>Résidences principales</t>
  </si>
  <si>
    <t>Résidences secondaires et logements occasionnels</t>
  </si>
  <si>
    <t>Logements vacants</t>
  </si>
  <si>
    <t>Maisons</t>
  </si>
  <si>
    <t>Appartements</t>
  </si>
  <si>
    <t>Couples avec enfant(s)</t>
  </si>
  <si>
    <t>Familles monoparentales</t>
  </si>
  <si>
    <t> Hommes seuls avec enfant(s)</t>
  </si>
  <si>
    <t> Femmes seules avec enfant(s)</t>
  </si>
  <si>
    <t>Couples sans enfant</t>
  </si>
  <si>
    <t>Salle de bain avec baignoire ou douche(%)</t>
  </si>
  <si>
    <t xml:space="preserve">Chauffage central collectif </t>
  </si>
  <si>
    <t>Chauffage central collectif(%)</t>
  </si>
  <si>
    <t>Chauffage central individuel(%)</t>
  </si>
  <si>
    <t>Chauffage individuel "tout électrique"(%)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</si>
</sst>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7"/>
      <color rgb="FF525457"/>
      <name val="Inherit"/>
    </font>
    <font>
      <sz val="7"/>
      <color rgb="FF525457"/>
      <name val="Inherit"/>
    </font>
    <font>
      <sz val="7"/>
      <color rgb="FFFFFFFF"/>
      <name val="Inherit"/>
    </font>
    <font>
      <i/>
      <sz val="7"/>
      <color rgb="FF525457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75757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2" fillId="0" borderId="1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330D-BF01-447B-B5D7-1FC660965B91}">
  <dimension ref="A1:I31"/>
  <sheetViews>
    <sheetView workbookViewId="0">
      <selection activeCell="I9" sqref="I9"/>
    </sheetView>
  </sheetViews>
  <sheetFormatPr baseColWidth="10" defaultRowHeight="14.5"/>
  <cols>
    <col min="3" max="3" width="9.6328125" bestFit="1" customWidth="1"/>
    <col min="5" max="5" width="11.36328125" bestFit="1" customWidth="1"/>
    <col min="6" max="6" width="32.26953125" bestFit="1" customWidth="1"/>
    <col min="7" max="7" width="50.54296875" bestFit="1" customWidth="1"/>
  </cols>
  <sheetData>
    <row r="1" spans="1:9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t="s">
        <v>7</v>
      </c>
      <c r="I1" t="s">
        <v>8</v>
      </c>
    </row>
    <row r="2" spans="1:9">
      <c r="A2" s="3">
        <v>2010</v>
      </c>
      <c r="B2" s="5">
        <v>295858</v>
      </c>
      <c r="C2" s="6">
        <v>252</v>
      </c>
      <c r="D2" s="5">
        <v>22402</v>
      </c>
      <c r="E2" s="5">
        <v>10759</v>
      </c>
      <c r="F2" s="5">
        <v>169992</v>
      </c>
      <c r="G2" s="5">
        <v>92453</v>
      </c>
      <c r="H2">
        <f>(B7-B2)/(A7-A2)</f>
        <v>3363.8</v>
      </c>
      <c r="I2">
        <f>B7- H2*A7</f>
        <v>-6465380</v>
      </c>
    </row>
    <row r="3" spans="1:9">
      <c r="A3" s="3">
        <v>2011</v>
      </c>
      <c r="B3" s="5">
        <f xml:space="preserve"> $H$2*A3+$I$2</f>
        <v>299221.80000000075</v>
      </c>
      <c r="C3" s="6">
        <v>12869</v>
      </c>
      <c r="D3" s="5">
        <v>22183.400000000023</v>
      </c>
      <c r="E3" s="5">
        <v>10717.200000000012</v>
      </c>
      <c r="F3" s="5">
        <v>172710</v>
      </c>
      <c r="G3" s="5">
        <v>93379</v>
      </c>
      <c r="H3">
        <f xml:space="preserve"> (B13-B7)/(A13-A7)</f>
        <v>6371.666666666667</v>
      </c>
      <c r="I3">
        <f>B13- H3*A13</f>
        <v>-12526231.333333334</v>
      </c>
    </row>
    <row r="4" spans="1:9">
      <c r="A4" s="3">
        <v>2012</v>
      </c>
      <c r="B4" s="5">
        <f t="shared" ref="B4:B6" si="0" xml:space="preserve"> $H$2*A4+$I$2</f>
        <v>302585.60000000056</v>
      </c>
      <c r="C4" s="6">
        <v>14979</v>
      </c>
      <c r="D4" s="5">
        <v>21964.799999999988</v>
      </c>
      <c r="E4" s="5">
        <v>10675.400000000009</v>
      </c>
      <c r="F4" s="5">
        <v>175428</v>
      </c>
      <c r="G4" s="5">
        <v>94305</v>
      </c>
    </row>
    <row r="5" spans="1:9">
      <c r="A5" s="3">
        <v>2013</v>
      </c>
      <c r="B5" s="5">
        <f t="shared" si="0"/>
        <v>305949.40000000037</v>
      </c>
      <c r="C5" s="6">
        <v>17089</v>
      </c>
      <c r="D5" s="5">
        <v>21746.200000000012</v>
      </c>
      <c r="E5" s="5">
        <v>10633.600000000006</v>
      </c>
      <c r="F5" s="5">
        <v>178146</v>
      </c>
      <c r="G5" s="5">
        <v>95231</v>
      </c>
    </row>
    <row r="6" spans="1:9">
      <c r="A6" s="3">
        <v>2014</v>
      </c>
      <c r="B6" s="5">
        <f t="shared" si="0"/>
        <v>309313.20000000019</v>
      </c>
      <c r="C6" s="6">
        <v>19199</v>
      </c>
      <c r="D6" s="5">
        <v>21527.600000000035</v>
      </c>
      <c r="E6" s="5">
        <v>10591.800000000003</v>
      </c>
      <c r="F6" s="5">
        <v>180864</v>
      </c>
      <c r="G6" s="5">
        <v>96157</v>
      </c>
    </row>
    <row r="7" spans="1:9">
      <c r="A7" s="3">
        <v>2015</v>
      </c>
      <c r="B7" s="5">
        <v>312677</v>
      </c>
      <c r="C7" s="6">
        <v>152</v>
      </c>
      <c r="D7" s="5">
        <v>21309</v>
      </c>
      <c r="E7" s="5">
        <v>10550</v>
      </c>
      <c r="F7" s="5">
        <v>183582</v>
      </c>
      <c r="G7" s="5">
        <v>97083</v>
      </c>
    </row>
    <row r="8" spans="1:9">
      <c r="A8" s="3">
        <v>2016</v>
      </c>
      <c r="B8" s="5">
        <f>$H$3*A8+$I$3</f>
        <v>319048.66666666605</v>
      </c>
      <c r="C8" s="6">
        <v>21741.666666666628</v>
      </c>
      <c r="D8" s="5">
        <v>21741.666666666628</v>
      </c>
      <c r="E8" s="5">
        <v>10970.833333333372</v>
      </c>
      <c r="F8" s="5">
        <v>187900.5</v>
      </c>
      <c r="G8" s="5">
        <v>98260.333333333489</v>
      </c>
    </row>
    <row r="9" spans="1:9">
      <c r="A9" s="3">
        <v>2017</v>
      </c>
      <c r="B9" s="5">
        <f t="shared" ref="B9:B12" si="1">$H$3*A9+$I$3</f>
        <v>325420.33333333395</v>
      </c>
      <c r="C9" s="6">
        <v>22174.333333333372</v>
      </c>
      <c r="D9" s="5">
        <v>22174.333333333372</v>
      </c>
      <c r="E9" s="5">
        <v>11391.666666666628</v>
      </c>
      <c r="F9" s="5">
        <v>192219</v>
      </c>
      <c r="G9" s="5">
        <v>99437.666666666511</v>
      </c>
    </row>
    <row r="10" spans="1:9">
      <c r="A10" s="3">
        <v>2018</v>
      </c>
      <c r="B10" s="5">
        <f t="shared" si="1"/>
        <v>331792</v>
      </c>
      <c r="C10" s="6">
        <v>22607</v>
      </c>
      <c r="D10" s="5">
        <v>22607</v>
      </c>
      <c r="E10" s="5">
        <v>11812.5</v>
      </c>
      <c r="F10" s="5">
        <v>196537.5</v>
      </c>
      <c r="G10" s="5">
        <v>100615</v>
      </c>
    </row>
    <row r="11" spans="1:9">
      <c r="A11" s="3">
        <v>2019</v>
      </c>
      <c r="B11" s="5">
        <f t="shared" si="1"/>
        <v>338163.66666666605</v>
      </c>
      <c r="C11" s="6">
        <v>23039.666666666628</v>
      </c>
      <c r="D11" s="5">
        <v>23039.666666666628</v>
      </c>
      <c r="E11" s="5">
        <v>12233.333333333372</v>
      </c>
      <c r="F11" s="5">
        <v>200856</v>
      </c>
      <c r="G11" s="5">
        <v>101792.33333333349</v>
      </c>
    </row>
    <row r="12" spans="1:9">
      <c r="A12" s="3">
        <v>2020</v>
      </c>
      <c r="B12" s="5">
        <f t="shared" si="1"/>
        <v>344535.33333333395</v>
      </c>
      <c r="C12" s="6">
        <v>23472.333333333372</v>
      </c>
      <c r="D12" s="5">
        <v>23472.333333333372</v>
      </c>
      <c r="E12" s="5">
        <v>12654.166666666628</v>
      </c>
      <c r="F12" s="5">
        <v>205174.5</v>
      </c>
      <c r="G12" s="5">
        <v>102969.66666666651</v>
      </c>
    </row>
    <row r="13" spans="1:9">
      <c r="A13" s="3">
        <v>2021</v>
      </c>
      <c r="B13" s="5">
        <v>350907</v>
      </c>
      <c r="C13" s="6">
        <v>287</v>
      </c>
      <c r="D13" s="5">
        <v>23905</v>
      </c>
      <c r="E13" s="5">
        <v>13075</v>
      </c>
      <c r="F13" s="5">
        <v>209493</v>
      </c>
      <c r="G13" s="5">
        <v>104147</v>
      </c>
    </row>
    <row r="17" spans="1:8">
      <c r="A17" s="3"/>
      <c r="B17" s="3"/>
    </row>
    <row r="18" spans="1:8">
      <c r="A18" s="3"/>
      <c r="B18" s="3"/>
      <c r="H18" s="1"/>
    </row>
    <row r="19" spans="1:8">
      <c r="A19" s="3"/>
      <c r="B19" s="3"/>
    </row>
    <row r="20" spans="1:8">
      <c r="A20" s="3"/>
      <c r="B20" s="3"/>
    </row>
    <row r="21" spans="1:8">
      <c r="A21" s="3"/>
      <c r="B21" s="3"/>
    </row>
    <row r="22" spans="1:8">
      <c r="A22" s="3"/>
      <c r="B22" s="3"/>
    </row>
    <row r="23" spans="1:8">
      <c r="A23" s="3"/>
      <c r="B23" s="3"/>
    </row>
    <row r="24" spans="1:8">
      <c r="A24" s="3"/>
      <c r="B24" s="3"/>
    </row>
    <row r="25" spans="1:8">
      <c r="A25" s="3"/>
      <c r="B25" s="3"/>
    </row>
    <row r="26" spans="1:8">
      <c r="A26" s="3"/>
      <c r="B26" s="3"/>
    </row>
    <row r="27" spans="1:8">
      <c r="A27" s="3"/>
      <c r="B27" s="3"/>
    </row>
    <row r="28" spans="1:8">
      <c r="A28" s="3"/>
      <c r="B28" s="3"/>
    </row>
    <row r="29" spans="1:8">
      <c r="A29" s="3"/>
    </row>
    <row r="30" spans="1:8">
      <c r="A30" s="3"/>
    </row>
    <row r="31" spans="1:8">
      <c r="A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C233-5718-4BE5-9156-481599175DF6}">
  <dimension ref="A1:L7"/>
  <sheetViews>
    <sheetView workbookViewId="0">
      <selection activeCell="A2" sqref="A2"/>
    </sheetView>
  </sheetViews>
  <sheetFormatPr baseColWidth="10" defaultRowHeight="14.5"/>
  <sheetData>
    <row r="1" spans="1:12">
      <c r="A1" s="7">
        <v>2010</v>
      </c>
      <c r="B1" s="7">
        <v>2015</v>
      </c>
      <c r="C1" s="7">
        <v>2021</v>
      </c>
      <c r="D1" s="12"/>
    </row>
    <row r="2" spans="1:12" ht="18">
      <c r="A2" s="8" t="s">
        <v>9</v>
      </c>
      <c r="B2" s="9">
        <v>0.1</v>
      </c>
      <c r="C2" s="9">
        <v>0</v>
      </c>
      <c r="D2" s="13"/>
    </row>
    <row r="3" spans="1:12" ht="27">
      <c r="A3" s="10" t="s">
        <v>10</v>
      </c>
      <c r="B3" s="11">
        <v>4.7</v>
      </c>
      <c r="C3" s="11">
        <v>5.0999999999999996</v>
      </c>
      <c r="D3" s="13"/>
    </row>
    <row r="4" spans="1:12" ht="36">
      <c r="A4" s="8" t="s">
        <v>11</v>
      </c>
      <c r="B4" s="9">
        <v>27</v>
      </c>
      <c r="C4" s="9">
        <v>29.4</v>
      </c>
      <c r="D4" s="13"/>
      <c r="F4" cm="1">
        <f t="array" ref="F4:L6">TRANSPOSE(A1:C7)</f>
        <v>2010</v>
      </c>
      <c r="G4" t="str">
        <v>Agriculteurs exploitants</v>
      </c>
      <c r="H4" t="str">
        <v>Artisans, commerçants, chefs entreprise</v>
      </c>
      <c r="I4" t="str">
        <v>Cadres et professions intellectuelles supérieures</v>
      </c>
      <c r="J4" t="str">
        <v>Professions intermédiaires</v>
      </c>
      <c r="K4" t="str">
        <v>Employés</v>
      </c>
      <c r="L4" t="str">
        <v>Ouvriers</v>
      </c>
    </row>
    <row r="5" spans="1:12" ht="18">
      <c r="A5" s="10" t="s">
        <v>12</v>
      </c>
      <c r="B5" s="11">
        <v>29.7</v>
      </c>
      <c r="C5" s="11">
        <v>29.9</v>
      </c>
      <c r="D5" s="13"/>
      <c r="F5">
        <v>2015</v>
      </c>
      <c r="G5">
        <v>0.1</v>
      </c>
      <c r="H5">
        <v>4.7</v>
      </c>
      <c r="I5">
        <v>27</v>
      </c>
      <c r="J5">
        <v>29.7</v>
      </c>
      <c r="K5">
        <v>27.7</v>
      </c>
      <c r="L5">
        <v>10.8</v>
      </c>
    </row>
    <row r="6" spans="1:12">
      <c r="A6" s="8" t="s">
        <v>13</v>
      </c>
      <c r="B6" s="9">
        <v>27.7</v>
      </c>
      <c r="C6" s="9">
        <v>26.1</v>
      </c>
      <c r="D6" s="13"/>
      <c r="F6">
        <v>2021</v>
      </c>
      <c r="G6">
        <v>0</v>
      </c>
      <c r="H6">
        <v>5.0999999999999996</v>
      </c>
      <c r="I6">
        <v>29.4</v>
      </c>
      <c r="J6">
        <v>29.9</v>
      </c>
      <c r="K6">
        <v>26.1</v>
      </c>
      <c r="L6">
        <v>9.5</v>
      </c>
    </row>
    <row r="7" spans="1:12">
      <c r="A7" s="10" t="s">
        <v>14</v>
      </c>
      <c r="B7" s="11">
        <v>10.8</v>
      </c>
      <c r="C7" s="11">
        <v>9.5</v>
      </c>
      <c r="D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38D7-E661-4BF5-9430-43C52FE30E01}">
  <dimension ref="A1:G12"/>
  <sheetViews>
    <sheetView workbookViewId="0">
      <selection activeCell="G12" sqref="G12"/>
    </sheetView>
  </sheetViews>
  <sheetFormatPr baseColWidth="10" defaultRowHeight="14.5"/>
  <cols>
    <col min="2" max="2" width="17.54296875" bestFit="1" customWidth="1"/>
    <col min="4" max="4" width="15.08984375" bestFit="1" customWidth="1"/>
    <col min="6" max="6" width="17.54296875" bestFit="1" customWidth="1"/>
    <col min="8" max="8" width="15.08984375" bestFit="1" customWidth="1"/>
  </cols>
  <sheetData>
    <row r="1" spans="1:7">
      <c r="A1" t="s">
        <v>6</v>
      </c>
      <c r="B1" t="s">
        <v>15</v>
      </c>
      <c r="C1" t="s">
        <v>16</v>
      </c>
      <c r="D1" t="s">
        <v>17</v>
      </c>
      <c r="F1" s="14"/>
      <c r="G1" s="14"/>
    </row>
    <row r="2" spans="1:7">
      <c r="A2">
        <v>2011</v>
      </c>
      <c r="B2" s="6">
        <v>157086</v>
      </c>
      <c r="C2" s="6">
        <v>123778.39999999991</v>
      </c>
      <c r="D2" s="6">
        <v>33307.599999999977</v>
      </c>
      <c r="F2" s="15"/>
      <c r="G2" s="15"/>
    </row>
    <row r="3" spans="1:7">
      <c r="A3">
        <v>2012</v>
      </c>
      <c r="B3" s="6">
        <v>157996</v>
      </c>
      <c r="C3" s="6">
        <v>124757.80000000005</v>
      </c>
      <c r="D3" s="6">
        <v>33238.199999999983</v>
      </c>
      <c r="F3" s="15"/>
      <c r="G3" s="15"/>
    </row>
    <row r="4" spans="1:7">
      <c r="A4">
        <v>2013</v>
      </c>
      <c r="B4" s="6">
        <v>158906</v>
      </c>
      <c r="C4" s="6">
        <v>125737.19999999995</v>
      </c>
      <c r="D4" s="6">
        <v>33168.799999999988</v>
      </c>
      <c r="F4" s="2"/>
      <c r="G4" s="2"/>
    </row>
    <row r="5" spans="1:7">
      <c r="A5">
        <v>2014</v>
      </c>
      <c r="B5" s="6">
        <v>159816</v>
      </c>
      <c r="C5" s="6">
        <v>126716.59999999986</v>
      </c>
      <c r="D5" s="6">
        <v>33099.399999999994</v>
      </c>
      <c r="F5" s="15"/>
      <c r="G5" s="15"/>
    </row>
    <row r="6" spans="1:7">
      <c r="A6">
        <v>2015</v>
      </c>
      <c r="B6" s="6">
        <v>160726</v>
      </c>
      <c r="C6" s="6">
        <v>127696</v>
      </c>
      <c r="D6" s="6">
        <v>33030</v>
      </c>
      <c r="F6" s="2"/>
      <c r="G6" s="2"/>
    </row>
    <row r="7" spans="1:7">
      <c r="A7">
        <v>2016</v>
      </c>
      <c r="B7" s="6">
        <v>161043.66666666663</v>
      </c>
      <c r="C7" s="6">
        <v>128322.83333333326</v>
      </c>
      <c r="D7" s="6">
        <v>32721</v>
      </c>
      <c r="F7" s="2"/>
      <c r="G7" s="2"/>
    </row>
    <row r="8" spans="1:7">
      <c r="A8">
        <v>2017</v>
      </c>
      <c r="B8" s="6">
        <v>161361.33333333337</v>
      </c>
      <c r="C8" s="6">
        <v>128949.66666666674</v>
      </c>
      <c r="D8" s="6">
        <v>32412</v>
      </c>
    </row>
    <row r="9" spans="1:7">
      <c r="A9">
        <v>2018</v>
      </c>
      <c r="B9" s="6">
        <v>161679</v>
      </c>
      <c r="C9" s="6">
        <v>129576.5</v>
      </c>
      <c r="D9" s="6">
        <v>32103</v>
      </c>
    </row>
    <row r="10" spans="1:7">
      <c r="A10">
        <v>2019</v>
      </c>
      <c r="B10" s="6">
        <v>161996.66666666663</v>
      </c>
      <c r="C10" s="6">
        <v>130203.33333333326</v>
      </c>
      <c r="D10" s="6">
        <v>31794</v>
      </c>
    </row>
    <row r="11" spans="1:7">
      <c r="A11">
        <v>2020</v>
      </c>
      <c r="B11" s="6">
        <v>162314.33333333337</v>
      </c>
      <c r="C11" s="6">
        <v>130830.16666666674</v>
      </c>
      <c r="D11" s="6">
        <v>31485</v>
      </c>
    </row>
    <row r="12" spans="1:7">
      <c r="A12">
        <v>2021</v>
      </c>
      <c r="B12" s="6">
        <v>162632</v>
      </c>
      <c r="C12" s="6">
        <v>131457</v>
      </c>
      <c r="D12" s="6">
        <v>31176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0AA2-7109-4745-AF25-EED38B56C580}">
  <dimension ref="A1:K18"/>
  <sheetViews>
    <sheetView tabSelected="1" workbookViewId="0">
      <selection activeCell="C14" sqref="C14"/>
    </sheetView>
  </sheetViews>
  <sheetFormatPr baseColWidth="10" defaultRowHeight="14.5"/>
  <cols>
    <col min="2" max="2" width="32" bestFit="1" customWidth="1"/>
    <col min="3" max="3" width="34.81640625" bestFit="1" customWidth="1"/>
    <col min="4" max="4" width="34.81640625" customWidth="1"/>
    <col min="5" max="5" width="22.26953125" bestFit="1" customWidth="1"/>
    <col min="6" max="6" width="22.26953125" customWidth="1"/>
    <col min="7" max="7" width="23.36328125" bestFit="1" customWidth="1"/>
    <col min="8" max="8" width="33.7265625" bestFit="1" customWidth="1"/>
    <col min="9" max="9" width="30.81640625" bestFit="1" customWidth="1"/>
  </cols>
  <sheetData>
    <row r="1" spans="1:11">
      <c r="A1" t="s">
        <v>6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19</v>
      </c>
      <c r="H1" t="s">
        <v>40</v>
      </c>
      <c r="I1" t="s">
        <v>20</v>
      </c>
    </row>
    <row r="2" spans="1:11">
      <c r="A2">
        <v>2010</v>
      </c>
      <c r="B2" s="6">
        <v>233023</v>
      </c>
      <c r="C2">
        <v>95.6</v>
      </c>
      <c r="D2" s="6">
        <v>73129</v>
      </c>
      <c r="E2" s="4">
        <v>30</v>
      </c>
      <c r="F2" s="6">
        <v>87345</v>
      </c>
      <c r="G2" s="4">
        <v>35.800000000000068</v>
      </c>
      <c r="H2" s="6">
        <v>78950</v>
      </c>
      <c r="I2" s="4">
        <v>32.399999999999977</v>
      </c>
      <c r="J2" s="15"/>
      <c r="K2" s="15"/>
    </row>
    <row r="3" spans="1:11">
      <c r="A3">
        <v>2011</v>
      </c>
      <c r="B3" s="6">
        <v>236176.59999999963</v>
      </c>
      <c r="C3">
        <v>95.66</v>
      </c>
      <c r="D3" s="6">
        <v>74538.799999999814</v>
      </c>
      <c r="E3" s="4">
        <v>30.180000000000007</v>
      </c>
      <c r="F3" s="6">
        <v>87547.400000000023</v>
      </c>
      <c r="G3" s="4">
        <v>35.460000000000036</v>
      </c>
      <c r="H3" s="6">
        <v>80748.400000000373</v>
      </c>
      <c r="I3" s="4">
        <v>32.699999999999932</v>
      </c>
      <c r="J3" s="2"/>
      <c r="K3" s="2"/>
    </row>
    <row r="4" spans="1:11">
      <c r="A4">
        <v>2012</v>
      </c>
      <c r="B4" s="6">
        <v>239330.20000000019</v>
      </c>
      <c r="C4">
        <v>95.72</v>
      </c>
      <c r="D4" s="6">
        <v>75948.600000000093</v>
      </c>
      <c r="E4" s="4">
        <v>30.359999999999957</v>
      </c>
      <c r="F4" s="6">
        <v>87749.799999999988</v>
      </c>
      <c r="G4" s="4">
        <v>35.120000000000118</v>
      </c>
      <c r="H4" s="6">
        <v>82546.800000000279</v>
      </c>
      <c r="I4" s="4">
        <v>33</v>
      </c>
      <c r="J4" s="16"/>
      <c r="K4" s="16"/>
    </row>
    <row r="5" spans="1:11">
      <c r="A5">
        <v>2013</v>
      </c>
      <c r="B5" s="6">
        <v>242483.79999999981</v>
      </c>
      <c r="C5">
        <v>95.78</v>
      </c>
      <c r="D5" s="6">
        <v>77358.399999999907</v>
      </c>
      <c r="E5" s="4">
        <v>30.539999999999964</v>
      </c>
      <c r="F5" s="6">
        <v>87952.200000000012</v>
      </c>
      <c r="G5" s="4">
        <v>34.780000000000086</v>
      </c>
      <c r="H5" s="6">
        <v>84345.200000000186</v>
      </c>
      <c r="I5" s="4">
        <v>33.299999999999955</v>
      </c>
      <c r="J5" s="16"/>
      <c r="K5" s="16"/>
    </row>
    <row r="6" spans="1:11">
      <c r="A6">
        <v>2014</v>
      </c>
      <c r="B6" s="6">
        <v>245637.39999999944</v>
      </c>
      <c r="C6">
        <v>95.84</v>
      </c>
      <c r="D6" s="6">
        <v>78768.199999999721</v>
      </c>
      <c r="E6" s="4">
        <v>30.71999999999997</v>
      </c>
      <c r="F6" s="6">
        <v>88154.600000000035</v>
      </c>
      <c r="G6" s="4">
        <v>34.440000000000055</v>
      </c>
      <c r="H6" s="6">
        <v>86143.600000000093</v>
      </c>
      <c r="I6" s="4">
        <v>33.599999999999909</v>
      </c>
    </row>
    <row r="7" spans="1:11">
      <c r="A7">
        <v>2015</v>
      </c>
      <c r="B7" s="6">
        <v>248791</v>
      </c>
      <c r="C7">
        <v>95.9</v>
      </c>
      <c r="D7" s="6">
        <v>80178</v>
      </c>
      <c r="E7" s="4">
        <v>30.899999999999977</v>
      </c>
      <c r="F7" s="6">
        <v>88357</v>
      </c>
      <c r="G7" s="4">
        <v>34.100000000000136</v>
      </c>
      <c r="H7" s="6">
        <v>87942</v>
      </c>
      <c r="I7" s="4">
        <v>33.899999999999977</v>
      </c>
    </row>
    <row r="8" spans="1:11">
      <c r="A8">
        <v>2016</v>
      </c>
      <c r="B8" s="6">
        <v>250368.33333333349</v>
      </c>
      <c r="C8">
        <v>95.800000000000011</v>
      </c>
      <c r="D8" s="6">
        <v>81498.166666666511</v>
      </c>
      <c r="E8" s="4">
        <v>31.166666666666686</v>
      </c>
      <c r="F8" s="6">
        <v>88942</v>
      </c>
      <c r="G8" s="4">
        <v>34.066666666666777</v>
      </c>
      <c r="H8" s="6">
        <v>88142.333333333314</v>
      </c>
      <c r="I8" s="4">
        <v>33.733333333333292</v>
      </c>
    </row>
    <row r="9" spans="1:11">
      <c r="A9">
        <v>2017</v>
      </c>
      <c r="B9" s="6">
        <v>251945.66666666651</v>
      </c>
      <c r="C9">
        <v>95.700000000000017</v>
      </c>
      <c r="D9" s="6">
        <v>82818.333333333489</v>
      </c>
      <c r="E9" s="4">
        <v>31.433333333333337</v>
      </c>
      <c r="F9" s="6">
        <v>89527</v>
      </c>
      <c r="G9" s="4">
        <v>34.033333333333431</v>
      </c>
      <c r="H9" s="6">
        <v>88342.666666666686</v>
      </c>
      <c r="I9" s="4">
        <v>33.566666666666663</v>
      </c>
    </row>
    <row r="10" spans="1:11">
      <c r="A10">
        <v>2018</v>
      </c>
      <c r="B10" s="6">
        <v>253523</v>
      </c>
      <c r="C10">
        <v>95.600000000000023</v>
      </c>
      <c r="D10" s="6">
        <v>84138.5</v>
      </c>
      <c r="E10" s="4">
        <v>31.699999999999989</v>
      </c>
      <c r="F10" s="6">
        <v>90112</v>
      </c>
      <c r="G10" s="4">
        <v>34.000000000000071</v>
      </c>
      <c r="H10" s="6">
        <v>88543</v>
      </c>
      <c r="I10" s="4">
        <v>33.399999999999977</v>
      </c>
    </row>
    <row r="11" spans="1:11">
      <c r="A11">
        <v>2019</v>
      </c>
      <c r="B11" s="6">
        <v>255100.33333333349</v>
      </c>
      <c r="C11">
        <v>95.500000000000028</v>
      </c>
      <c r="D11" s="6">
        <v>85458.666666666511</v>
      </c>
      <c r="E11" s="4">
        <v>31.96666666666664</v>
      </c>
      <c r="F11" s="6">
        <v>90697</v>
      </c>
      <c r="G11" s="4">
        <v>33.966666666666711</v>
      </c>
      <c r="H11" s="6">
        <v>88743.333333333314</v>
      </c>
      <c r="I11" s="4">
        <v>33.233333333333292</v>
      </c>
    </row>
    <row r="12" spans="1:11">
      <c r="A12">
        <v>2020</v>
      </c>
      <c r="B12" s="6">
        <v>256677.66666666651</v>
      </c>
      <c r="C12">
        <v>95.400000000000034</v>
      </c>
      <c r="D12" s="6">
        <v>86778.833333333489</v>
      </c>
      <c r="E12" s="4">
        <v>32.233333333333292</v>
      </c>
      <c r="F12" s="6">
        <v>91282</v>
      </c>
      <c r="G12" s="4">
        <v>33.933333333333366</v>
      </c>
      <c r="H12" s="6">
        <v>88943.666666666686</v>
      </c>
      <c r="I12" s="4">
        <v>33.066666666666663</v>
      </c>
    </row>
    <row r="13" spans="1:11">
      <c r="A13">
        <v>2021</v>
      </c>
      <c r="B13" s="6">
        <v>258255</v>
      </c>
      <c r="C13">
        <v>95.300000000000011</v>
      </c>
      <c r="D13" s="6">
        <v>88099</v>
      </c>
      <c r="E13" s="4">
        <v>32.500000000000057</v>
      </c>
      <c r="F13" s="6">
        <v>91867</v>
      </c>
      <c r="G13" s="4">
        <v>33.900000000000006</v>
      </c>
      <c r="H13" s="6">
        <v>89144</v>
      </c>
      <c r="I13" s="4">
        <v>32.899999999999977</v>
      </c>
    </row>
    <row r="17" spans="2:5">
      <c r="B17" s="6"/>
      <c r="D17" s="6"/>
      <c r="E17" s="4"/>
    </row>
    <row r="18" spans="2:5">
      <c r="B18" s="6"/>
      <c r="D18" s="6"/>
      <c r="E1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3CE0-E1B6-4F2E-9451-E602DC48EA54}">
  <dimension ref="A1:G19"/>
  <sheetViews>
    <sheetView workbookViewId="0">
      <selection activeCell="C17" sqref="C17"/>
    </sheetView>
  </sheetViews>
  <sheetFormatPr baseColWidth="10" defaultRowHeight="14.5"/>
  <cols>
    <col min="1" max="1" width="32.453125" bestFit="1" customWidth="1"/>
    <col min="6" max="6" width="13.6328125" bestFit="1" customWidth="1"/>
  </cols>
  <sheetData>
    <row r="1" spans="1:7">
      <c r="A1" t="s">
        <v>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7">
      <c r="A2">
        <v>2010</v>
      </c>
      <c r="B2" s="6">
        <v>34071</v>
      </c>
      <c r="C2" s="6">
        <v>60280</v>
      </c>
      <c r="D2" s="6">
        <v>68087</v>
      </c>
      <c r="E2" s="6">
        <v>48482</v>
      </c>
      <c r="F2" s="6">
        <v>32806</v>
      </c>
    </row>
    <row r="3" spans="1:7">
      <c r="A3">
        <v>2011</v>
      </c>
      <c r="B3" s="6">
        <v>34689.600000000093</v>
      </c>
      <c r="C3" s="6">
        <v>61157.200000000186</v>
      </c>
      <c r="D3" s="6">
        <v>68946.200000000186</v>
      </c>
      <c r="E3" s="6">
        <v>49102.399999999907</v>
      </c>
      <c r="F3" s="6">
        <v>32958.800000000047</v>
      </c>
    </row>
    <row r="4" spans="1:7">
      <c r="A4">
        <v>2012</v>
      </c>
      <c r="B4" s="6">
        <v>35308.199999999953</v>
      </c>
      <c r="C4" s="6">
        <v>62034.40000000014</v>
      </c>
      <c r="D4" s="6">
        <v>69805.40000000014</v>
      </c>
      <c r="E4" s="6">
        <v>49722.800000000047</v>
      </c>
      <c r="F4" s="6">
        <v>33111.600000000035</v>
      </c>
    </row>
    <row r="5" spans="1:7">
      <c r="A5">
        <v>2013</v>
      </c>
      <c r="B5" s="6">
        <v>35926.800000000047</v>
      </c>
      <c r="C5" s="6">
        <v>62911.600000000093</v>
      </c>
      <c r="D5" s="6">
        <v>70664.600000000093</v>
      </c>
      <c r="E5" s="6">
        <v>50343.199999999953</v>
      </c>
      <c r="F5" s="6">
        <v>33264.400000000023</v>
      </c>
      <c r="G5" s="2"/>
    </row>
    <row r="6" spans="1:7">
      <c r="A6">
        <v>2014</v>
      </c>
      <c r="B6" s="6">
        <v>36545.40000000014</v>
      </c>
      <c r="C6" s="6">
        <v>63788.800000000047</v>
      </c>
      <c r="D6" s="6">
        <v>71523.800000000047</v>
      </c>
      <c r="E6" s="6">
        <v>50963.59999999986</v>
      </c>
      <c r="F6" s="6">
        <v>33417.200000000012</v>
      </c>
      <c r="G6" s="2"/>
    </row>
    <row r="7" spans="1:7">
      <c r="A7">
        <v>2015</v>
      </c>
      <c r="B7" s="6">
        <v>37164</v>
      </c>
      <c r="C7" s="6">
        <v>64666</v>
      </c>
      <c r="D7" s="6">
        <v>72383</v>
      </c>
      <c r="E7" s="6">
        <v>51584</v>
      </c>
      <c r="F7" s="6">
        <v>33570</v>
      </c>
      <c r="G7" s="2"/>
    </row>
    <row r="8" spans="1:7">
      <c r="A8">
        <v>2016</v>
      </c>
      <c r="B8" s="6">
        <v>38106.5</v>
      </c>
      <c r="C8" s="6">
        <v>65014</v>
      </c>
      <c r="D8" s="6">
        <v>72806</v>
      </c>
      <c r="E8" s="6">
        <v>51605.5</v>
      </c>
      <c r="F8" s="6">
        <v>33769.666666666686</v>
      </c>
      <c r="G8" s="17"/>
    </row>
    <row r="9" spans="1:7">
      <c r="A9">
        <v>2017</v>
      </c>
      <c r="B9" s="6">
        <v>39049</v>
      </c>
      <c r="C9" s="6">
        <v>65362</v>
      </c>
      <c r="D9" s="6">
        <v>73229</v>
      </c>
      <c r="E9" s="6">
        <v>51627</v>
      </c>
      <c r="F9" s="6">
        <v>33969.333333333314</v>
      </c>
    </row>
    <row r="10" spans="1:7">
      <c r="A10">
        <v>2018</v>
      </c>
      <c r="B10" s="6">
        <v>39991.5</v>
      </c>
      <c r="C10" s="6">
        <v>65710</v>
      </c>
      <c r="D10" s="6">
        <v>73652</v>
      </c>
      <c r="E10" s="6">
        <v>51648.5</v>
      </c>
      <c r="F10" s="6">
        <v>34169</v>
      </c>
    </row>
    <row r="11" spans="1:7">
      <c r="A11">
        <v>2019</v>
      </c>
      <c r="B11" s="6">
        <v>40934</v>
      </c>
      <c r="C11" s="6">
        <v>66058</v>
      </c>
      <c r="D11" s="6">
        <v>74075</v>
      </c>
      <c r="E11" s="6">
        <v>51670</v>
      </c>
      <c r="F11" s="6">
        <v>34368.666666666686</v>
      </c>
    </row>
    <row r="12" spans="1:7">
      <c r="A12">
        <v>2020</v>
      </c>
      <c r="B12" s="6">
        <v>41876.5</v>
      </c>
      <c r="C12" s="6">
        <v>66406</v>
      </c>
      <c r="D12" s="6">
        <v>74498</v>
      </c>
      <c r="E12" s="6">
        <v>51691.5</v>
      </c>
      <c r="F12" s="6">
        <v>34568.333333333314</v>
      </c>
    </row>
    <row r="13" spans="1:7">
      <c r="A13">
        <v>2021</v>
      </c>
      <c r="B13" s="6">
        <v>42819</v>
      </c>
      <c r="C13" s="6">
        <v>66754</v>
      </c>
      <c r="D13" s="6">
        <v>74921</v>
      </c>
      <c r="E13" s="6">
        <v>51713</v>
      </c>
      <c r="F13" s="6">
        <v>34768</v>
      </c>
    </row>
    <row r="14" spans="1:7">
      <c r="A14" s="17"/>
      <c r="B14" s="17"/>
      <c r="C14" s="17"/>
      <c r="D14" s="17"/>
      <c r="E14" s="17"/>
      <c r="F14" s="17"/>
    </row>
    <row r="15" spans="1:7">
      <c r="B15" s="17"/>
      <c r="C15" s="17"/>
      <c r="D15" s="17"/>
      <c r="E15" s="17"/>
      <c r="F15" s="17"/>
    </row>
    <row r="16" spans="1:7">
      <c r="A16" s="17"/>
      <c r="B16" s="17"/>
      <c r="C16" s="17"/>
      <c r="D16" s="17"/>
      <c r="E16" s="17"/>
      <c r="F16" s="17"/>
    </row>
    <row r="17" spans="1:6">
      <c r="B17" s="17"/>
      <c r="C17" s="17"/>
      <c r="D17" s="17"/>
      <c r="E17" s="17"/>
      <c r="F17" s="17"/>
    </row>
    <row r="18" spans="1:6">
      <c r="A18" s="17"/>
      <c r="B18" s="17"/>
      <c r="C18" s="17"/>
      <c r="D18" s="17"/>
      <c r="E18" s="17"/>
      <c r="F18" s="17"/>
    </row>
    <row r="19" spans="1:6">
      <c r="B19" s="17"/>
      <c r="C19" s="17"/>
      <c r="D19" s="17"/>
      <c r="E19" s="17"/>
      <c r="F19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60F3-A075-4D32-9980-BE8BF2708729}">
  <dimension ref="A1:F13"/>
  <sheetViews>
    <sheetView workbookViewId="0">
      <selection activeCell="H10" sqref="H10"/>
    </sheetView>
  </sheetViews>
  <sheetFormatPr baseColWidth="10" defaultRowHeight="14.5"/>
  <cols>
    <col min="2" max="2" width="19.54296875" bestFit="1" customWidth="1"/>
    <col min="3" max="3" width="42.90625" bestFit="1" customWidth="1"/>
    <col min="4" max="4" width="16.54296875" bestFit="1" customWidth="1"/>
    <col min="6" max="6" width="12.26953125" bestFit="1" customWidth="1"/>
  </cols>
  <sheetData>
    <row r="1" spans="1:6">
      <c r="A1" t="s">
        <v>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>
        <v>2010</v>
      </c>
      <c r="B2" s="5">
        <v>243726</v>
      </c>
      <c r="C2" s="5">
        <v>7142</v>
      </c>
      <c r="D2" s="5">
        <v>24227</v>
      </c>
      <c r="E2" s="5">
        <v>8126</v>
      </c>
      <c r="F2" s="5">
        <v>263397</v>
      </c>
    </row>
    <row r="3" spans="1:6">
      <c r="A3">
        <v>2011</v>
      </c>
      <c r="B3" s="5">
        <v>246854.40000000037</v>
      </c>
      <c r="C3" s="5">
        <v>7955.2000000001863</v>
      </c>
      <c r="D3" s="5">
        <v>24348</v>
      </c>
      <c r="E3" s="5">
        <v>8162.6000000000058</v>
      </c>
      <c r="F3" s="5">
        <v>266976</v>
      </c>
    </row>
    <row r="4" spans="1:6">
      <c r="A4">
        <v>2012</v>
      </c>
      <c r="B4" s="5">
        <v>249982.79999999981</v>
      </c>
      <c r="C4" s="5">
        <v>8768.4000000001397</v>
      </c>
      <c r="D4" s="5">
        <v>24469</v>
      </c>
      <c r="E4" s="5">
        <v>8199.1999999999971</v>
      </c>
      <c r="F4" s="5">
        <v>270555</v>
      </c>
    </row>
    <row r="5" spans="1:6">
      <c r="A5">
        <v>2013</v>
      </c>
      <c r="B5" s="5">
        <v>253111.20000000019</v>
      </c>
      <c r="C5" s="5">
        <v>9581.6000000000931</v>
      </c>
      <c r="D5" s="5">
        <v>24590</v>
      </c>
      <c r="E5" s="5">
        <v>8235.8000000000029</v>
      </c>
      <c r="F5" s="5">
        <v>274134</v>
      </c>
    </row>
    <row r="6" spans="1:6">
      <c r="A6">
        <v>2014</v>
      </c>
      <c r="B6" s="5">
        <v>256239.60000000056</v>
      </c>
      <c r="C6" s="5">
        <v>10394.800000000047</v>
      </c>
      <c r="D6" s="5">
        <v>24711</v>
      </c>
      <c r="E6" s="5">
        <v>8272.4000000000087</v>
      </c>
      <c r="F6" s="5">
        <v>277713</v>
      </c>
    </row>
    <row r="7" spans="1:6">
      <c r="A7">
        <v>2015</v>
      </c>
      <c r="B7" s="5">
        <v>259368</v>
      </c>
      <c r="C7" s="5">
        <v>11208</v>
      </c>
      <c r="D7" s="5">
        <v>24832</v>
      </c>
      <c r="E7" s="5">
        <v>8309</v>
      </c>
      <c r="F7" s="5">
        <v>281292</v>
      </c>
    </row>
    <row r="8" spans="1:6">
      <c r="A8">
        <v>2016</v>
      </c>
      <c r="B8" s="5">
        <v>261302.5</v>
      </c>
      <c r="C8" s="5">
        <v>12284.333333333489</v>
      </c>
      <c r="D8" s="5">
        <v>24953</v>
      </c>
      <c r="E8" s="5">
        <v>8345.6000000000058</v>
      </c>
      <c r="F8" s="5">
        <v>284888.5</v>
      </c>
    </row>
    <row r="9" spans="1:6">
      <c r="A9">
        <v>2017</v>
      </c>
      <c r="B9" s="5">
        <v>263237</v>
      </c>
      <c r="C9" s="5">
        <v>13360.666666666511</v>
      </c>
      <c r="D9" s="5">
        <v>25604.333333333372</v>
      </c>
      <c r="E9" s="5">
        <v>8150.333333333343</v>
      </c>
      <c r="F9" s="5">
        <v>288485</v>
      </c>
    </row>
    <row r="10" spans="1:6">
      <c r="A10">
        <v>2018</v>
      </c>
      <c r="B10" s="5">
        <v>265171.5</v>
      </c>
      <c r="C10" s="5">
        <v>14437</v>
      </c>
      <c r="D10" s="5">
        <v>25990.5</v>
      </c>
      <c r="E10" s="5">
        <v>8071</v>
      </c>
      <c r="F10" s="5">
        <v>292081.5</v>
      </c>
    </row>
    <row r="11" spans="1:6">
      <c r="A11">
        <v>2019</v>
      </c>
      <c r="B11" s="5">
        <v>267106</v>
      </c>
      <c r="C11" s="5">
        <v>15513.333333333489</v>
      </c>
      <c r="D11" s="5">
        <v>26376.666666666628</v>
      </c>
      <c r="E11" s="5">
        <v>7991.666666666657</v>
      </c>
      <c r="F11" s="5">
        <v>295678</v>
      </c>
    </row>
    <row r="12" spans="1:6">
      <c r="A12">
        <v>2020</v>
      </c>
      <c r="B12" s="5">
        <v>269040.5</v>
      </c>
      <c r="C12" s="5">
        <v>16589.666666666511</v>
      </c>
      <c r="D12" s="5">
        <v>26762.833333333372</v>
      </c>
      <c r="E12" s="5">
        <v>7912.333333333343</v>
      </c>
      <c r="F12" s="5">
        <v>299274.5</v>
      </c>
    </row>
    <row r="13" spans="1:6">
      <c r="A13">
        <v>2021</v>
      </c>
      <c r="B13" s="5">
        <v>270975</v>
      </c>
      <c r="C13" s="5">
        <v>17666</v>
      </c>
      <c r="D13" s="5">
        <v>27149</v>
      </c>
      <c r="E13" s="5">
        <v>7833</v>
      </c>
      <c r="F13" s="5">
        <v>302871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642F-722E-49D0-8317-41572B5E5900}">
  <dimension ref="A1:F13"/>
  <sheetViews>
    <sheetView workbookViewId="0">
      <selection activeCell="E18" sqref="E18"/>
    </sheetView>
  </sheetViews>
  <sheetFormatPr baseColWidth="10" defaultRowHeight="14.5"/>
  <cols>
    <col min="2" max="2" width="19.453125" bestFit="1" customWidth="1"/>
    <col min="3" max="3" width="21.36328125" bestFit="1" customWidth="1"/>
    <col min="4" max="4" width="25.1796875" bestFit="1" customWidth="1"/>
    <col min="5" max="5" width="25.90625" bestFit="1" customWidth="1"/>
    <col min="6" max="6" width="17.26953125" bestFit="1" customWidth="1"/>
  </cols>
  <sheetData>
    <row r="1" spans="1:6">
      <c r="A1" t="s">
        <v>6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2010</v>
      </c>
      <c r="B2" s="6">
        <v>44031</v>
      </c>
      <c r="C2" s="6">
        <v>18847</v>
      </c>
      <c r="D2" s="6">
        <v>2749</v>
      </c>
      <c r="E2" s="6">
        <v>16098</v>
      </c>
      <c r="F2" s="6">
        <v>49585</v>
      </c>
    </row>
    <row r="3" spans="1:6">
      <c r="A3">
        <v>2011</v>
      </c>
      <c r="B3" s="6">
        <v>44377</v>
      </c>
      <c r="C3" s="6">
        <v>19215.199999999953</v>
      </c>
      <c r="D3" s="6">
        <v>2841.2000000000116</v>
      </c>
      <c r="E3" s="6">
        <v>16374</v>
      </c>
      <c r="F3" s="6">
        <v>49988.399999999907</v>
      </c>
    </row>
    <row r="4" spans="1:6">
      <c r="A4">
        <v>2012</v>
      </c>
      <c r="B4" s="6">
        <v>44723</v>
      </c>
      <c r="C4" s="6">
        <v>19583.400000000023</v>
      </c>
      <c r="D4" s="6">
        <v>2933.3999999999942</v>
      </c>
      <c r="E4" s="6">
        <v>16650</v>
      </c>
      <c r="F4" s="6">
        <v>50391.79999999993</v>
      </c>
    </row>
    <row r="5" spans="1:6">
      <c r="A5">
        <v>2013</v>
      </c>
      <c r="B5" s="6">
        <v>45069</v>
      </c>
      <c r="C5" s="6">
        <v>19951.599999999977</v>
      </c>
      <c r="D5" s="6">
        <v>3025.6000000000058</v>
      </c>
      <c r="E5" s="6">
        <v>16926</v>
      </c>
      <c r="F5" s="6">
        <v>50795.199999999953</v>
      </c>
    </row>
    <row r="6" spans="1:6">
      <c r="A6">
        <v>2014</v>
      </c>
      <c r="B6" s="6">
        <v>45415</v>
      </c>
      <c r="C6" s="6">
        <v>20319.79999999993</v>
      </c>
      <c r="D6" s="6">
        <v>3117.8000000000175</v>
      </c>
      <c r="E6" s="6">
        <v>17202</v>
      </c>
      <c r="F6" s="6">
        <v>51198.599999999977</v>
      </c>
    </row>
    <row r="7" spans="1:6">
      <c r="A7">
        <v>2015</v>
      </c>
      <c r="B7" s="6">
        <v>45761</v>
      </c>
      <c r="C7" s="6">
        <v>20688</v>
      </c>
      <c r="D7" s="6">
        <v>3210</v>
      </c>
      <c r="E7" s="6">
        <v>17478</v>
      </c>
      <c r="F7" s="6">
        <v>51602</v>
      </c>
    </row>
    <row r="8" spans="1:6">
      <c r="A8">
        <v>2016</v>
      </c>
      <c r="B8" s="6">
        <v>45825</v>
      </c>
      <c r="C8" s="6">
        <v>20813.333333333343</v>
      </c>
      <c r="D8" s="6">
        <v>3294.5</v>
      </c>
      <c r="E8" s="6">
        <v>17518.666666666672</v>
      </c>
      <c r="F8" s="6">
        <v>51667.5</v>
      </c>
    </row>
    <row r="9" spans="1:6">
      <c r="A9">
        <v>2017</v>
      </c>
      <c r="B9" s="6">
        <v>45889</v>
      </c>
      <c r="C9" s="6">
        <v>20938.666666666657</v>
      </c>
      <c r="D9" s="6">
        <v>3379</v>
      </c>
      <c r="E9" s="6">
        <v>17559.333333333328</v>
      </c>
      <c r="F9" s="6">
        <v>51733</v>
      </c>
    </row>
    <row r="10" spans="1:6">
      <c r="A10">
        <v>2018</v>
      </c>
      <c r="B10" s="6">
        <v>45953</v>
      </c>
      <c r="C10" s="6">
        <v>21064</v>
      </c>
      <c r="D10" s="6">
        <v>3463.5</v>
      </c>
      <c r="E10" s="6">
        <v>17600</v>
      </c>
      <c r="F10" s="6">
        <v>51798.5</v>
      </c>
    </row>
    <row r="11" spans="1:6">
      <c r="A11">
        <v>2019</v>
      </c>
      <c r="B11" s="6">
        <v>46017</v>
      </c>
      <c r="C11" s="6">
        <v>21189.333333333343</v>
      </c>
      <c r="D11" s="6">
        <v>3548</v>
      </c>
      <c r="E11" s="6">
        <v>17640.666666666672</v>
      </c>
      <c r="F11" s="6">
        <v>51864</v>
      </c>
    </row>
    <row r="12" spans="1:6">
      <c r="A12">
        <v>2020</v>
      </c>
      <c r="B12" s="6">
        <v>46081</v>
      </c>
      <c r="C12" s="6">
        <v>21314.666666666657</v>
      </c>
      <c r="D12" s="6">
        <v>3632.5</v>
      </c>
      <c r="E12" s="6">
        <v>17681.333333333328</v>
      </c>
      <c r="F12" s="6">
        <v>51929.5</v>
      </c>
    </row>
    <row r="13" spans="1:6">
      <c r="A13">
        <v>2021</v>
      </c>
      <c r="B13" s="6">
        <v>46145</v>
      </c>
      <c r="C13" s="6">
        <v>21440</v>
      </c>
      <c r="D13" s="6">
        <v>3717</v>
      </c>
      <c r="E13" s="6">
        <v>17722</v>
      </c>
      <c r="F13" s="6">
        <v>51995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Nombre emplois par secteur</vt:lpstr>
      <vt:lpstr>Cat emploi commune Lyon</vt:lpstr>
      <vt:lpstr>Voitures par foyer commune Lyon</vt:lpstr>
      <vt:lpstr>Confort habitat commune Lyon</vt:lpstr>
      <vt:lpstr>Nombre pieces Commune Lyon</vt:lpstr>
      <vt:lpstr>Type logement commune Lyon</vt:lpstr>
      <vt:lpstr>Type famille commune 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2024-12-25T16:34:18Z</dcterms:created>
  <dcterms:modified xsi:type="dcterms:W3CDTF">2024-12-26T15:17:53Z</dcterms:modified>
</cp:coreProperties>
</file>