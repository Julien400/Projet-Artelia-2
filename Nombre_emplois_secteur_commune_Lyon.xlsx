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494b61d6d09c0e6/GEN Departement insa/5A/Option 2IE/"/>
    </mc:Choice>
  </mc:AlternateContent>
  <xr:revisionPtr revIDLastSave="0" documentId="8_{7C77FDEA-A844-4573-B5F8-10D40D396F5F}" xr6:coauthVersionLast="47" xr6:coauthVersionMax="47" xr10:uidLastSave="{00000000-0000-0000-0000-000000000000}"/>
  <bookViews>
    <workbookView xWindow="-110" yWindow="-110" windowWidth="19420" windowHeight="10300" xr2:uid="{D69BD9DE-61D5-4AEC-BB5B-FC242D91E347}"/>
  </bookViews>
  <sheets>
    <sheet name="Nombre emplois par secteur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H3" i="1"/>
  <c r="B12" i="1" s="1"/>
  <c r="H2" i="1"/>
  <c r="I2" i="1" s="1"/>
  <c r="B3" i="1" s="1"/>
  <c r="B4" i="1" l="1"/>
  <c r="B5" i="1"/>
  <c r="B6" i="1"/>
  <c r="B8" i="1"/>
  <c r="B9" i="1"/>
  <c r="B10" i="1"/>
  <c r="B11" i="1"/>
</calcChain>
</file>

<file path=xl/sharedStrings.xml><?xml version="1.0" encoding="utf-8"?>
<sst xmlns="http://schemas.openxmlformats.org/spreadsheetml/2006/main" count="9" uniqueCount="9">
  <si>
    <t>Annee</t>
  </si>
  <si>
    <t>Ensemble</t>
  </si>
  <si>
    <t>Agriculture</t>
  </si>
  <si>
    <t>Industrie</t>
  </si>
  <si>
    <t>Construction</t>
  </si>
  <si>
    <t>Commerce, transports, services divers</t>
  </si>
  <si>
    <t>Administration publique, enseignement, santé, action sociale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</si>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</sst>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7"/>
      <color rgb="FF525457"/>
      <name val="Inheri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0" fontId="1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BCAB4-A311-4379-9722-1B7CA1B8131A}">
  <dimension ref="A1:I31"/>
  <sheetViews>
    <sheetView tabSelected="1" workbookViewId="0">
      <selection activeCell="I9" sqref="I9"/>
    </sheetView>
  </sheetViews>
  <sheetFormatPr baseColWidth="10" defaultRowHeight="14.5"/>
  <cols>
    <col min="3" max="3" width="9.6328125" bestFit="1" customWidth="1"/>
    <col min="5" max="5" width="11.36328125" bestFit="1" customWidth="1"/>
    <col min="6" max="6" width="32.26953125" bestFit="1" customWidth="1"/>
    <col min="7" max="7" width="50.5429687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</row>
    <row r="2" spans="1:9">
      <c r="A2" s="1">
        <v>2010</v>
      </c>
      <c r="B2" s="2">
        <v>295858</v>
      </c>
      <c r="C2" s="3">
        <v>252</v>
      </c>
      <c r="D2" s="2">
        <v>22402</v>
      </c>
      <c r="E2" s="2">
        <v>10759</v>
      </c>
      <c r="F2" s="2">
        <v>169992</v>
      </c>
      <c r="G2" s="2">
        <v>92453</v>
      </c>
      <c r="H2">
        <f>(B7-B2)/(A7-A2)</f>
        <v>3363.8</v>
      </c>
      <c r="I2">
        <f>B7- H2*A7</f>
        <v>-6465380</v>
      </c>
    </row>
    <row r="3" spans="1:9">
      <c r="A3" s="1">
        <v>2011</v>
      </c>
      <c r="B3" s="2">
        <f xml:space="preserve"> $H$2*A3+$I$2</f>
        <v>299221.80000000075</v>
      </c>
      <c r="C3" s="3">
        <v>12869</v>
      </c>
      <c r="D3" s="2">
        <v>22183.400000000023</v>
      </c>
      <c r="E3" s="2">
        <v>10717.200000000012</v>
      </c>
      <c r="F3" s="2">
        <v>172710</v>
      </c>
      <c r="G3" s="2">
        <v>93379</v>
      </c>
      <c r="H3">
        <f xml:space="preserve"> (B13-B7)/(A13-A7)</f>
        <v>6371.666666666667</v>
      </c>
      <c r="I3">
        <f>B13- H3*A13</f>
        <v>-12526231.333333334</v>
      </c>
    </row>
    <row r="4" spans="1:9">
      <c r="A4" s="1">
        <v>2012</v>
      </c>
      <c r="B4" s="2">
        <f t="shared" ref="B4:B6" si="0" xml:space="preserve"> $H$2*A4+$I$2</f>
        <v>302585.60000000056</v>
      </c>
      <c r="C4" s="3">
        <v>14979</v>
      </c>
      <c r="D4" s="2">
        <v>21964.799999999988</v>
      </c>
      <c r="E4" s="2">
        <v>10675.400000000009</v>
      </c>
      <c r="F4" s="2">
        <v>175428</v>
      </c>
      <c r="G4" s="2">
        <v>94305</v>
      </c>
    </row>
    <row r="5" spans="1:9">
      <c r="A5" s="1">
        <v>2013</v>
      </c>
      <c r="B5" s="2">
        <f t="shared" si="0"/>
        <v>305949.40000000037</v>
      </c>
      <c r="C5" s="3">
        <v>17089</v>
      </c>
      <c r="D5" s="2">
        <v>21746.200000000012</v>
      </c>
      <c r="E5" s="2">
        <v>10633.600000000006</v>
      </c>
      <c r="F5" s="2">
        <v>178146</v>
      </c>
      <c r="G5" s="2">
        <v>95231</v>
      </c>
    </row>
    <row r="6" spans="1:9">
      <c r="A6" s="1">
        <v>2014</v>
      </c>
      <c r="B6" s="2">
        <f t="shared" si="0"/>
        <v>309313.20000000019</v>
      </c>
      <c r="C6" s="3">
        <v>19199</v>
      </c>
      <c r="D6" s="2">
        <v>21527.600000000035</v>
      </c>
      <c r="E6" s="2">
        <v>10591.800000000003</v>
      </c>
      <c r="F6" s="2">
        <v>180864</v>
      </c>
      <c r="G6" s="2">
        <v>96157</v>
      </c>
    </row>
    <row r="7" spans="1:9">
      <c r="A7" s="1">
        <v>2015</v>
      </c>
      <c r="B7" s="2">
        <v>312677</v>
      </c>
      <c r="C7" s="3">
        <v>152</v>
      </c>
      <c r="D7" s="2">
        <v>21309</v>
      </c>
      <c r="E7" s="2">
        <v>10550</v>
      </c>
      <c r="F7" s="2">
        <v>183582</v>
      </c>
      <c r="G7" s="2">
        <v>97083</v>
      </c>
    </row>
    <row r="8" spans="1:9">
      <c r="A8" s="1">
        <v>2016</v>
      </c>
      <c r="B8" s="2">
        <f>$H$3*A8+$I$3</f>
        <v>319048.66666666605</v>
      </c>
      <c r="C8" s="3">
        <v>21741.666666666628</v>
      </c>
      <c r="D8" s="2">
        <v>21741.666666666628</v>
      </c>
      <c r="E8" s="2">
        <v>10970.833333333372</v>
      </c>
      <c r="F8" s="2">
        <v>187900.5</v>
      </c>
      <c r="G8" s="2">
        <v>98260.333333333489</v>
      </c>
    </row>
    <row r="9" spans="1:9">
      <c r="A9" s="1">
        <v>2017</v>
      </c>
      <c r="B9" s="2">
        <f t="shared" ref="B9:B12" si="1">$H$3*A9+$I$3</f>
        <v>325420.33333333395</v>
      </c>
      <c r="C9" s="3">
        <v>22174.333333333372</v>
      </c>
      <c r="D9" s="2">
        <v>22174.333333333372</v>
      </c>
      <c r="E9" s="2">
        <v>11391.666666666628</v>
      </c>
      <c r="F9" s="2">
        <v>192219</v>
      </c>
      <c r="G9" s="2">
        <v>99437.666666666511</v>
      </c>
    </row>
    <row r="10" spans="1:9">
      <c r="A10" s="1">
        <v>2018</v>
      </c>
      <c r="B10" s="2">
        <f t="shared" si="1"/>
        <v>331792</v>
      </c>
      <c r="C10" s="3">
        <v>22607</v>
      </c>
      <c r="D10" s="2">
        <v>22607</v>
      </c>
      <c r="E10" s="2">
        <v>11812.5</v>
      </c>
      <c r="F10" s="2">
        <v>196537.5</v>
      </c>
      <c r="G10" s="2">
        <v>100615</v>
      </c>
    </row>
    <row r="11" spans="1:9">
      <c r="A11" s="1">
        <v>2019</v>
      </c>
      <c r="B11" s="2">
        <f t="shared" si="1"/>
        <v>338163.66666666605</v>
      </c>
      <c r="C11" s="3">
        <v>23039.666666666628</v>
      </c>
      <c r="D11" s="2">
        <v>23039.666666666628</v>
      </c>
      <c r="E11" s="2">
        <v>12233.333333333372</v>
      </c>
      <c r="F11" s="2">
        <v>200856</v>
      </c>
      <c r="G11" s="2">
        <v>101792.33333333349</v>
      </c>
    </row>
    <row r="12" spans="1:9">
      <c r="A12" s="1">
        <v>2020</v>
      </c>
      <c r="B12" s="2">
        <f t="shared" si="1"/>
        <v>344535.33333333395</v>
      </c>
      <c r="C12" s="3">
        <v>23472.333333333372</v>
      </c>
      <c r="D12" s="2">
        <v>23472.333333333372</v>
      </c>
      <c r="E12" s="2">
        <v>12654.166666666628</v>
      </c>
      <c r="F12" s="2">
        <v>205174.5</v>
      </c>
      <c r="G12" s="2">
        <v>102969.66666666651</v>
      </c>
    </row>
    <row r="13" spans="1:9">
      <c r="A13" s="1">
        <v>2021</v>
      </c>
      <c r="B13" s="2">
        <v>350907</v>
      </c>
      <c r="C13" s="3">
        <v>287</v>
      </c>
      <c r="D13" s="2">
        <v>23905</v>
      </c>
      <c r="E13" s="2">
        <v>13075</v>
      </c>
      <c r="F13" s="2">
        <v>209493</v>
      </c>
      <c r="G13" s="2">
        <v>104147</v>
      </c>
    </row>
    <row r="17" spans="1:8">
      <c r="A17" s="1"/>
      <c r="B17" s="1"/>
    </row>
    <row r="18" spans="1:8">
      <c r="A18" s="1"/>
      <c r="B18" s="1"/>
      <c r="H18" s="4"/>
    </row>
    <row r="19" spans="1:8">
      <c r="A19" s="1"/>
      <c r="B19" s="1"/>
    </row>
    <row r="20" spans="1:8">
      <c r="A20" s="1"/>
      <c r="B20" s="1"/>
    </row>
    <row r="21" spans="1:8">
      <c r="A21" s="1"/>
      <c r="B21" s="1"/>
    </row>
    <row r="22" spans="1:8">
      <c r="A22" s="1"/>
      <c r="B22" s="1"/>
    </row>
    <row r="23" spans="1:8">
      <c r="A23" s="1"/>
      <c r="B23" s="1"/>
    </row>
    <row r="24" spans="1:8">
      <c r="A24" s="1"/>
      <c r="B24" s="1"/>
    </row>
    <row r="25" spans="1:8">
      <c r="A25" s="1"/>
      <c r="B25" s="1"/>
    </row>
    <row r="26" spans="1:8">
      <c r="A26" s="1"/>
      <c r="B26" s="1"/>
    </row>
    <row r="27" spans="1:8">
      <c r="A27" s="1"/>
      <c r="B27" s="1"/>
    </row>
    <row r="28" spans="1:8">
      <c r="A28" s="1"/>
      <c r="B28" s="1"/>
    </row>
    <row r="29" spans="1:8">
      <c r="A29" s="1"/>
    </row>
    <row r="30" spans="1:8">
      <c r="A30" s="1"/>
    </row>
    <row r="31" spans="1:8">
      <c r="A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Nombre emplois par secteur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Clémentine Vigier</dc:creator>
  <cp:lastModifiedBy>Clémentine Vigier</cp:lastModifiedBy>
  <dcterms:created xsi:type="dcterms:W3CDTF">2025-01-01T10:11:08Z</dcterms:created>
  <dcterms:modified xsi:type="dcterms:W3CDTF">2025-01-01T10:12:09Z</dcterms:modified>
</cp:coreProperties>
</file>